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tuan/Library/Application Support/Claude/local-agent-mode-sessions/34ca38a4-9f5e-4577-b975-5e33e14c01ae/6cc5ff31-1092-417e-a248-02bf1f1d14a4/local_b9d2dbff-84a2-46b9-9aef-0b6b69877a4f/outputs/"/>
    </mc:Choice>
  </mc:AlternateContent>
  <xr:revisionPtr revIDLastSave="0" documentId="13_ncr:1_{0C12B052-989A-5E49-8FAC-D1C10D3F40D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README" sheetId="1" r:id="rId1"/>
    <sheet name="1_Village_Database" sheetId="2" r:id="rId2"/>
    <sheet name="2_Village_Scoring" sheetId="3" r:id="rId3"/>
    <sheet name="3_KPI_Comparison" sheetId="4" r:id="rId4"/>
    <sheet name="4_Risk_Matrix" sheetId="5" r:id="rId5"/>
    <sheet name="5_Industry_Benchmark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F6" i="5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</calcChain>
</file>

<file path=xl/sharedStrings.xml><?xml version="1.0" encoding="utf-8"?>
<sst xmlns="http://schemas.openxmlformats.org/spreadsheetml/2006/main" count="442" uniqueCount="252">
  <si>
    <t>LÀNG NGHỀ INVESTMENT RESEARCH — DATABASE &amp; DASHBOARD (v2)</t>
  </si>
  <si>
    <t>Dự án</t>
  </si>
  <si>
    <t>Independent Investment Research Project — Đánh giá cơ hội đầu tư làng nghề truyền thống Việt Nam</t>
  </si>
  <si>
    <t>Phiên bản</t>
  </si>
  <si>
    <t>v2 — Khung (skeleton) đầy đủ cho database 15 làng nghề miền Bắc; số liệu/nội dung chi tiết sẽ cập nhật dần</t>
  </si>
  <si>
    <t>Cập nhật</t>
  </si>
  <si>
    <t>Tháng 7/2026</t>
  </si>
  <si>
    <t>CẤU TRÚC WORKBOOK</t>
  </si>
  <si>
    <t>Sheet 1</t>
  </si>
  <si>
    <t>Village Database — hồ sơ đầy đủ 15 làng nghề miền Bắc (lịch sử, mô hình kinh tế, quy mô, kênh phân phối, rủi ro...)</t>
  </si>
  <si>
    <t>Sheet 2</t>
  </si>
  <si>
    <t>Village Scoring — ma trận sàng lọc 15 làng nghề theo 7 tiêu chí có trọng số</t>
  </si>
  <si>
    <t>Sheet 3</t>
  </si>
  <si>
    <t>So sánh trực tiếp hai làng nghề nghiên cứu chuyên sâu: Gốm Kim Lan vs Khảm trai Chuôn Ngọ</t>
  </si>
  <si>
    <t>Sheet 4</t>
  </si>
  <si>
    <t>Risk Matrix (Probability x Impact) cho hai làng nghề case study</t>
  </si>
  <si>
    <t>Sheet 5</t>
  </si>
  <si>
    <t>Số liệu nền ngành làng nghề Việt Nam (industry benchmarks)</t>
  </si>
  <si>
    <t>HỆ THỐNG PHÂN TẦNG ĐỘ TIN CẬY DỮ LIỆU</t>
  </si>
  <si>
    <t>Đã nghiên cứu chuyên sâu (xanh lá)</t>
  </si>
  <si>
    <t>Đã qua nhiều vòng tra cứu nguồn thứ cấp + quan sát thực địa cá nhân — độ tin cậy cao nhất hiện có (Kim Lan, Chuôn Ngọ)</t>
  </si>
  <si>
    <t>Sơ bộ - kiến thức nền (vàng)</t>
  </si>
  <si>
    <t>Dựa trên kiến thức nền tổng hợp, chưa tra cứu chuyên sâu từng nguồn — cần kiểm chứng trước khi trích dẫn chính thức</t>
  </si>
  <si>
    <t>TBD - Cần nghiên cứu (đỏ nhạt)</t>
  </si>
  <si>
    <t>Chỉ có tên và vị trí làng nghề (thông tin công khai rộng rãi) — toàn bộ số liệu còn lại là khung trống, CHƯA có nội dung</t>
  </si>
  <si>
    <t>QUY ƯỚC MÀU Ô DỮ LIỆU</t>
  </si>
  <si>
    <t>Chữ màu xanh dương</t>
  </si>
  <si>
    <t>Input — số liệu/điểm số do người dùng nhập hoặc chỉnh sửa</t>
  </si>
  <si>
    <t>Chữ màu đen</t>
  </si>
  <si>
    <t>Công thức tính toán tự động — không sửa tay</t>
  </si>
  <si>
    <t>Nền vàng (trong Sheet Scoring)</t>
  </si>
  <si>
    <t>Điểm chấm cần thẩm định lại bằng dữ liệu thực địa</t>
  </si>
  <si>
    <t>CÁCH DÙNG WORKBOOK NÀY</t>
  </si>
  <si>
    <t>Đây là một KHUNG (skeleton) — 9/15 làng nghề đã có mô tả sơ bộ, 2/15 (Kim Lan, Chuôn Ngọ) đã nghiên cứu sâu, 6/15 làng nghề mới chỉ có tên/vị trí và toàn bộ cột dữ liệu còn trống (TBD). Khi có số liệu mới, điền trực tiếp vào ô tương ứng ở Sheet Village Database và cập nhật lại điểm chấm ở Sheet Village Scoring — không cần sửa công thức.</t>
  </si>
  <si>
    <t>VILLAGE DATABASE — HỒ SƠ 15 LÀNG NGHỀ MIỀN BẮC (KHUNG)</t>
  </si>
  <si>
    <t>#</t>
  </si>
  <si>
    <t>Làng nghề</t>
  </si>
  <si>
    <t>Tỉnh/Thành</t>
  </si>
  <si>
    <t>Nhóm sản phẩm</t>
  </si>
  <si>
    <t>Lịch sử (ước tính)</t>
  </si>
  <si>
    <t>Mô hình kinh tế chính</t>
  </si>
  <si>
    <t>Quy mô (hộ/lao động)</t>
  </si>
  <si>
    <t>Doanh thu ước tính</t>
  </si>
  <si>
    <t>Kênh phân phối chính</t>
  </si>
  <si>
    <t>Công nhận / Chứng nhận</t>
  </si>
  <si>
    <t>Rủi ro chính</t>
  </si>
  <si>
    <t>Trạng thái dữ liệu</t>
  </si>
  <si>
    <t>Gốm Kim Lan</t>
  </si>
  <si>
    <t>Gia Lâm, Hà Nội</t>
  </si>
  <si>
    <t>Gốm sứ</t>
  </si>
  <si>
    <t>~900-1.000 năm</t>
  </si>
  <si>
    <t>Sản xuất gốm gia dụng + du lịch trải nghiệm/bảo tàng cộng đồng</t>
  </si>
  <si>
    <t>~350 lò gốm hoạt động (2025)</t>
  </si>
  <si>
    <t>~500 tỷ VNĐ/năm (2025, toàn làng)</t>
  </si>
  <si>
    <t>Bán tại chỗ, du lịch; kênh xuất khẩu/TMĐT hạn chế</t>
  </si>
  <si>
    <t>Làng nghề truyền thống (UBND TP Hà Nội, 2010); thương hiệu tập thể 2009</t>
  </si>
  <si>
    <t>Suy giảm số lò (750→350/30 năm); bị lu mờ thương hiệu bởi Bát Tràng liền kề</t>
  </si>
  <si>
    <t>Đã nghiên cứu chuyên sâu</t>
  </si>
  <si>
    <t>Khảm trai Chuôn Ngọ</t>
  </si>
  <si>
    <t>Phú Xuyên, Hà Nội</t>
  </si>
  <si>
    <t>Khảm trai/ốc</t>
  </si>
  <si>
    <t>~1.000 năm</t>
  </si>
  <si>
    <t>Sản xuất nội thất/quà tặng khảm trai cao cấp, xuất khẩu</t>
  </si>
  <si>
    <t>~70-97% hộ xã Chuyên Mỹ làm nghề; &gt;1.000 hộ việc làm ổn định</t>
  </si>
  <si>
    <t>~265 tỷ VNĐ/năm (số liệu 2005, CẦN CẬP NHẬT)</t>
  </si>
  <si>
    <t>Xuất khẩu (Nhật, Anh, Mỹ, Pháp, Hà Lan, Đài Loan) + nội địa</t>
  </si>
  <si>
    <t>Làng nghề truyền thống; điểm đến du lịch làng nghề (Sở Du lịch Hà Nội)</t>
  </si>
  <si>
    <t>Ô nhiễm môi trường (bụi mài); phụ thuộc nguyên liệu nhập khẩu</t>
  </si>
  <si>
    <t>Gốm Bát Tràng</t>
  </si>
  <si>
    <t>~600-700 năm</t>
  </si>
  <si>
    <t>Sản xuất gốm mỹ nghệ + du lịch thương mại hoá quy mô lớn</t>
  </si>
  <si>
    <t>Quy mô lớn nhất nhóm gốm miền Bắc (chưa xác thực số liệu cụ thể)</t>
  </si>
  <si>
    <t>TBD</t>
  </si>
  <si>
    <t>Bán lẻ tại chỗ, du lịch, một phần xuất khẩu/TMĐT</t>
  </si>
  <si>
    <t>Làng nghề truyền thống; điểm đến du lịch trọng điểm Hà Nội</t>
  </si>
  <si>
    <t>Cạnh tranh nội bộ giữa các hộ kinh doanh; áp lực thương mại hoá quá mức</t>
  </si>
  <si>
    <t>Sơ bộ - kiến thức nền</t>
  </si>
  <si>
    <t>Lụa Vạn Phúc</t>
  </si>
  <si>
    <t>Hà Đông, Hà Nội</t>
  </si>
  <si>
    <t>Dệt lụa</t>
  </si>
  <si>
    <t>~1.000 năm (tương truyền)</t>
  </si>
  <si>
    <t>Dệt lụa truyền thống + bán lẻ/du lịch phố lụa</t>
  </si>
  <si>
    <t>Bán lẻ tại phố lụa, một phần xuất khẩu</t>
  </si>
  <si>
    <t>Làng nghề truyền thống; chỉ dẫn địa lý/nhãn hiệu tập thể</t>
  </si>
  <si>
    <t>Cạnh tranh hàng nhập khẩu giá rẻ giả danh lụa Vạn Phúc</t>
  </si>
  <si>
    <t>Tranh Đông Hồ</t>
  </si>
  <si>
    <t>Thuận Thành, Bắc Ninh</t>
  </si>
  <si>
    <t>Tranh dân gian</t>
  </si>
  <si>
    <t>~400-500 năm</t>
  </si>
  <si>
    <t>Sản xuất tranh khắc gỗ dân gian, quy mô rất nhỏ</t>
  </si>
  <si>
    <t>Chỉ còn rất ít hộ theo nghề (cần xác thực số liệu)</t>
  </si>
  <si>
    <t>Bán lẻ tại chỗ, quà tặng/du lịch văn hoá</t>
  </si>
  <si>
    <t>Di sản văn hoá phi vật thể cần bảo vệ khẩn cấp (UNESCO)</t>
  </si>
  <si>
    <t>Rủi ro mai một cao nhất trong nhóm — số hộ theo nghề giảm mạnh</t>
  </si>
  <si>
    <t>Mây tre đan Phú Vinh</t>
  </si>
  <si>
    <t>Chương Mỹ, Hà Nội</t>
  </si>
  <si>
    <t>Mây tre đan</t>
  </si>
  <si>
    <t>Sản xuất mây tre đan mỹ nghệ, xuất khẩu là kênh chính</t>
  </si>
  <si>
    <t>Xuất khẩu, một phần nội địa</t>
  </si>
  <si>
    <t>Làng nghề truyền thống</t>
  </si>
  <si>
    <t>Phụ thuộc nguồn nguyên liệu tự nhiên</t>
  </si>
  <si>
    <t>Đồ gỗ mỹ nghệ Đồng Kỵ</t>
  </si>
  <si>
    <t>Từ Sơn, Bắc Ninh</t>
  </si>
  <si>
    <t>Đồ gỗ</t>
  </si>
  <si>
    <t>Sản xuất đồ gỗ nội thất cao cấp, thị trường nội địa và Trung Quốc</t>
  </si>
  <si>
    <t>Quy mô kinh tế lớn (cần xác thực số liệu cụ thể)</t>
  </si>
  <si>
    <t>Nội địa, xuất khẩu Trung Quốc</t>
  </si>
  <si>
    <t>Cạnh tranh cao, dễ sao chép mẫu mã; phụ thuộc thị trường Trung Quốc</t>
  </si>
  <si>
    <t>Sơn mài Hạ Thái</t>
  </si>
  <si>
    <t>Thường Tín, Hà Nội</t>
  </si>
  <si>
    <t>Sơn mài</t>
  </si>
  <si>
    <t>Sản xuất đồ sơn mài mỹ nghệ, quà tặng cao cấp</t>
  </si>
  <si>
    <t>Nội địa, xuất khẩu, du lịch</t>
  </si>
  <si>
    <t>Nón lá làng Chuông</t>
  </si>
  <si>
    <t>Thanh Oai, Hà Nội</t>
  </si>
  <si>
    <t>Nón lá</t>
  </si>
  <si>
    <t>Sản xuất nón lá thủ công, chủ yếu nội địa</t>
  </si>
  <si>
    <t>Nội địa, du lịch, quà tặng</t>
  </si>
  <si>
    <t>Giá trị đơn vị sản phẩm thấp, thị trường xuất khẩu hạn chế</t>
  </si>
  <si>
    <t>Gốm Phù Lãng</t>
  </si>
  <si>
    <t>Quế Võ, Bắc Ninh</t>
  </si>
  <si>
    <t>TBD - Cần nghiên cứu</t>
  </si>
  <si>
    <t>Đúc đồng Đại Bái</t>
  </si>
  <si>
    <t>Gia Bình, Bắc Ninh</t>
  </si>
  <si>
    <t>Đúc đồng</t>
  </si>
  <si>
    <t>Tăm hương Quảng Phú Cầu</t>
  </si>
  <si>
    <t>Ứng Hoà, Hà Nội</t>
  </si>
  <si>
    <t>Hương/tăm hương</t>
  </si>
  <si>
    <t>Rèn Đa Sỹ</t>
  </si>
  <si>
    <t>Rèn kim khí</t>
  </si>
  <si>
    <t>Thêu Quất Động</t>
  </si>
  <si>
    <t>Thêu ren</t>
  </si>
  <si>
    <t>Chạm bạc Đồng Xâm</t>
  </si>
  <si>
    <t>Kiến Xương, Thái Bình</t>
  </si>
  <si>
    <t>Chạm bạc</t>
  </si>
  <si>
    <t>Chú giải màu: xanh lá = đã nghiên cứu chuyên sâu · vàng = sơ bộ theo kiến thức nền, cần kiểm chứng · đỏ nhạt = khung trống, cần nghiên cứu từ đầu.</t>
  </si>
  <si>
    <t>MA TRẬN SÀNG LỌC &amp; CHẤM ĐIỂM — 15 LÀNG NGHỀ MIỀN BẮC</t>
  </si>
  <si>
    <t>Trọng số tiêu chí (thang điểm 1-5 mỗi tiêu chí)</t>
  </si>
  <si>
    <t>Địa phương</t>
  </si>
  <si>
    <t>Quy mô kinh tế &amp;
tiềm năng thị trường</t>
  </si>
  <si>
    <t>Lợi thế cạnh tranh
/ Moat</t>
  </si>
  <si>
    <t>Tiềm năng xuất khẩu
&amp; mở rộng</t>
  </si>
  <si>
    <t>Giá trị văn hoá
&amp; di sản</t>
  </si>
  <si>
    <t>ESG &amp; tính
bền vững</t>
  </si>
  <si>
    <t>Khả năng tiếp cận
dữ liệu &amp; thực địa</t>
  </si>
  <si>
    <t>Công nhận
thể chế hiện hữu</t>
  </si>
  <si>
    <t>Điểm có trọng số
(/5)</t>
  </si>
  <si>
    <t>Xếp hạng</t>
  </si>
  <si>
    <t>—</t>
  </si>
  <si>
    <t>Ghi chú: Điểm số (thang 1-5, nền vàng) là đánh giá sơ bộ của tác giả — cần thẩm định lại khi có khảo sát chính thức. Các dòng "TBD" (nền đỏ nhạt) chưa có đủ thông tin để chấm điểm — xem Sheet Village Database. Gốm Kim Lan và Khảm trai Chuôn Ngọ (tô hồng) là hai case study nghiên cứu chuyên sâu.</t>
  </si>
  <si>
    <t>SO SÁNH TRỰC TIẾP: GỐM KIM LAN vs KHẢM TRAI CHUÔN NGỌ</t>
  </si>
  <si>
    <t>Chỉ tiêu</t>
  </si>
  <si>
    <t>Gốm Kim Lan (Gia Lâm, Hà Nội)</t>
  </si>
  <si>
    <t>Khảm trai Chuôn Ngọ (Phú Xuyên, Hà Nội)</t>
  </si>
  <si>
    <t>Nguồn / Ghi chú</t>
  </si>
  <si>
    <t>Lịch sử làng nghề</t>
  </si>
  <si>
    <t>~900-1.000 năm (có dấu tích gốm trước cả Bát Tràng)</t>
  </si>
  <si>
    <t>~1.000 năm (tổ nghề Trương Công Thành, thời Lý, TK XI-XIII)</t>
  </si>
  <si>
    <t>VnExpress; Sở VHTT Hà Nội; VietnamPlus</t>
  </si>
  <si>
    <t>Công nhận chính thức</t>
  </si>
  <si>
    <t>Làng nghề truyền thống (UBND TP Hà Nội, 2010); có thương hiệu tập thể từ 2009</t>
  </si>
  <si>
    <t>Làng nghề truyền thống được công nhận; điểm đến du lịch làng nghề (Sở Du lịch Hà Nội)</t>
  </si>
  <si>
    <t>Sở VHTT Hà Nội; Sở Du lịch Hà Nội</t>
  </si>
  <si>
    <t>Quy mô sản xuất</t>
  </si>
  <si>
    <t>~350 lò gốm hoạt động (2025), giảm từ ~750 lò (thập niên 1990)</t>
  </si>
  <si>
    <t>~70% hộ trong làng làm nghề khảm; toàn xã Chuyên Mỹ ~97% hộ sống bằng nghề khảm</t>
  </si>
  <si>
    <t>Báo Văn hoá; VOV5; VCCI News</t>
  </si>
  <si>
    <t>~265 tỷ VNĐ/năm (tiểu thủ công nghiệp, số liệu 2005 — cần cập nhật)</t>
  </si>
  <si>
    <t>Báo Văn hoá (Kim Lan); VCCI News (Chuôn Ngọ, số liệu cũ)</t>
  </si>
  <si>
    <t>Lao động &amp; thu nhập hộ</t>
  </si>
  <si>
    <t>Hàng nghìn lao động trực tiếp</t>
  </si>
  <si>
    <t>Việc làm ổn định cho hơn 1.000 hộ tại địa phương + hàng nghìn lao động ngoài xã; thu nhập ~50-70 triệu VNĐ/hộ/năm</t>
  </si>
  <si>
    <t>VCCI News</t>
  </si>
  <si>
    <t>Sản phẩm chính</t>
  </si>
  <si>
    <t>Gốm gia dụng: chum vại, chậu cảnh, bình hoa, bát đĩa, lư hương — thiên về công năng, ít cầu kỳ chi tiết</t>
  </si>
  <si>
    <t>Đồ nội thất khảm trai/ốc (tủ chè, sập gụ, tranh khảm), quà tặng mỹ nghệ cao cấp</t>
  </si>
  <si>
    <t>Sở VHTT Hà Nội; Kinh tế Đô thị</t>
  </si>
  <si>
    <t>Kênh phân phối</t>
  </si>
  <si>
    <t>Nội địa, du lịch trải nghiệm (bảo tàng gốm cộng đồng), OCOP</t>
  </si>
  <si>
    <t>Nội địa + xuất khẩu (Đài Loan, Nhật Bản, Anh, Mỹ, Pháp, Hà Lan)</t>
  </si>
  <si>
    <t>The Saigon Times; VietnamPlus</t>
  </si>
  <si>
    <t>Nguyên liệu đầu vào</t>
  </si>
  <si>
    <t>Đất sét (nguồn nội địa, khu vực sông Hồng)</t>
  </si>
  <si>
    <t>Vỏ trai/ốc thu gom trong nước + nhập khẩu từ Hồng Kông, Singapore, Nhật Bản, Trung Quốc</t>
  </si>
  <si>
    <t>canocxacu.com; khamtrai.vn</t>
  </si>
  <si>
    <t>Định vị cạnh tranh</t>
  </si>
  <si>
    <t>"Trầm tích văn hoá" bên cạnh Bát Tràng — ít thương mại hoá hơn, giá trị khảo cổ/di sản cao</t>
  </si>
  <si>
    <t>Thương hiệu vùng miền mạnh, sản phẩm giá trị cao (vài chục triệu đến hàng tỷ đồng/tác phẩm)</t>
  </si>
  <si>
    <t>Đại biểu Nhân dân; danviet.vn</t>
  </si>
  <si>
    <t>Rủi ro nổi bật</t>
  </si>
  <si>
    <t>Cạnh tranh trực tiếp và bị lu mờ thương hiệu bởi Bát Tràng liền kề; suy giảm số lò (750 → 350)</t>
  </si>
  <si>
    <t>Ô nhiễm môi trường từ bụi mài/xử lý vỏ trai (theo phản ánh báo chí); phụ thuộc nguyên liệu nhập khẩu</t>
  </si>
  <si>
    <t>VnBusiness ("kinh tế phát đạt, ngột ngạt môi trường")</t>
  </si>
  <si>
    <t>RISK MATRIX — GỐM KIM LAN &amp; KHẢM TRAI CHUÔN NGỌ</t>
  </si>
  <si>
    <t>Thang quy đổi</t>
  </si>
  <si>
    <t>Thấp</t>
  </si>
  <si>
    <t>Rủi ro</t>
  </si>
  <si>
    <t>Loại rủi ro</t>
  </si>
  <si>
    <t>Xác suất</t>
  </si>
  <si>
    <t>Ảnh hưởng</t>
  </si>
  <si>
    <t>Điểm rủi ro
(P x I)</t>
  </si>
  <si>
    <t>Biện pháp giảm thiểu</t>
  </si>
  <si>
    <t>Trung bình</t>
  </si>
  <si>
    <t>Bị lu mờ thương hiệu bởi Bát Tràng liền kề</t>
  </si>
  <si>
    <t>Thị trường</t>
  </si>
  <si>
    <t>Cao</t>
  </si>
  <si>
    <t>Xây dựng định vị khác biệt (di sản khảo cổ, du lịch trải nghiệm) thay vì cạnh tranh trực diện về sản lượng</t>
  </si>
  <si>
    <t>Suy giảm số lò sản xuất (750 → 350 trong ~30 năm)</t>
  </si>
  <si>
    <t>Vận hành / Nhân khẩu học</t>
  </si>
  <si>
    <t>Hỗ trợ chuyển đổi mô hình sang sản phẩm giá trị cao + du lịch trải nghiệm để bù đắp sản lượng</t>
  </si>
  <si>
    <t>Phụ thuộc kênh nội địa &amp; du lịch, tỷ trọng xuất khẩu thấp</t>
  </si>
  <si>
    <t>Phát triển kênh thương mại điện tử xuyên biên giới, kết nối OCOP với xúc tiến xuất khẩu</t>
  </si>
  <si>
    <t>Ô nhiễm môi trường từ bụi mài/xử lý vỏ trai</t>
  </si>
  <si>
    <t>ESG - Môi trường</t>
  </si>
  <si>
    <t>Đầu tư hệ thống xử lý bụi/nước thải tập trung; quy chuẩn an toàn lao động cấp hộ sản xuất</t>
  </si>
  <si>
    <t>Phụ thuộc nguyên liệu nhập khẩu (Hồng Kông, Nhật, Trung Quốc, Singapore)</t>
  </si>
  <si>
    <t>Chuỗi cung ứng</t>
  </si>
  <si>
    <t>Đa dạng hoá nguồn cung, đánh giá khả năng nội địa hoá nguyên liệu thay thế</t>
  </si>
  <si>
    <t>Biến động nhu cầu xuất khẩu tại các thị trường cao cấp (Nhật, Âu, Mỹ)</t>
  </si>
  <si>
    <t>Đa dạng hoá thị trường xuất khẩu, phát triển dòng sản phẩm giá trị thấp hơn cho thị trường nội địa</t>
  </si>
  <si>
    <t>Thiếu số liệu tài chính cập nhật (số liệu doanh thu tham chiếu từ 2005)</t>
  </si>
  <si>
    <t>Dữ liệu / Minh bạch</t>
  </si>
  <si>
    <t>Khảo sát thu thập số liệu doanh thu/xuất khẩu cập nhật trực tiếp từ hợp tác xã trong Phase 3</t>
  </si>
  <si>
    <t>SỐ LIỆU NỀN — NGÀNH LÀNG NGHỀ TRUYỀN THỐNG VIỆT NAM</t>
  </si>
  <si>
    <t>Số liệu tham chiếu</t>
  </si>
  <si>
    <t>Nguồn</t>
  </si>
  <si>
    <t>Tổng số làng nghề cả nước</t>
  </si>
  <si>
    <t>~5.400 làng nghề, trong đó ~2.000 làng nghề truyền thống được công nhận</t>
  </si>
  <si>
    <t>Bộ Văn hoá, Thể thao và Du lịch (2024); Hiệp hội Làng nghề Việt Nam</t>
  </si>
  <si>
    <t>Di sản văn hoá phi vật thể quốc gia (nghề thủ công truyền thống)</t>
  </si>
  <si>
    <t>57 di sản</t>
  </si>
  <si>
    <t>Bộ Văn hoá, Thể thao và Du lịch (2024)</t>
  </si>
  <si>
    <t>Lao động khu vực làng nghề</t>
  </si>
  <si>
    <t>~11 triệu lao động, ~30% lực lượng lao động nông thôn và miền núi</t>
  </si>
  <si>
    <t>Hiệp hội Làng nghề Việt Nam</t>
  </si>
  <si>
    <t>Thị trường xuất khẩu</t>
  </si>
  <si>
    <t>Xuất khẩu đến hơn 160 quốc gia/vùng lãnh thổ, chiếm ~10% nhu cầu thị trường toàn cầu</t>
  </si>
  <si>
    <t>Bộ Công Thương / VIETRADE</t>
  </si>
  <si>
    <t>Kim ngạch xuất khẩu thủ công mỹ nghệ</t>
  </si>
  <si>
    <t>~2 tỷ USD (2024); tăng trưởng bình quân 9,5%/năm (2015-2019); mục tiêu 4 tỷ USD (2025), 6 tỷ USD (2030)</t>
  </si>
  <si>
    <t>Bộ Công Thương; VCCI Trung tâm WTO</t>
  </si>
  <si>
    <t>Phân bố địa lý</t>
  </si>
  <si>
    <t>Miền Bắc chiếm ~40% số làng nghề cả nước; ĐB sông Hồng tập trung ~1.500 làng</t>
  </si>
  <si>
    <t>Hà Nội — trung tâm làng nghề lớn nhất cả nước</t>
  </si>
  <si>
    <t>~1.350 làng nghề và làng có nghề; 337 làng được công nhận chính thức</t>
  </si>
  <si>
    <t>UBND TP. Hà Nội (2024-2026)</t>
  </si>
  <si>
    <t>Chương trình OCOP</t>
  </si>
  <si>
    <t>14.085 sản phẩm đạt 3 sao trở lên (tính đến 9/2024); mục tiêu 50% làng nghề nông thôn có sản phẩm OCOP vào 2025</t>
  </si>
  <si>
    <t>Bộ NN&amp;PTNT / Bộ Công Thương</t>
  </si>
  <si>
    <t>Khung pháp lý nền tảng</t>
  </si>
  <si>
    <t>Nghị định 52/2018/NĐ-CP: 7 nhóm ngành nghề nông thôn; hỗ trợ tối đa 50% chi phí (không quá 50 triệu đồng/cơ sở) cho xúc tiến thương mại, thương hiệu, chỉ dẫn địa lý</t>
  </si>
  <si>
    <t>Chính phủ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</si>
</sst>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1F2937"/>
      <name val="Arial"/>
      <charset val="1"/>
    </font>
    <font>
      <sz val="10"/>
      <name val="Arial"/>
      <charset val="1"/>
    </font>
    <font>
      <b/>
      <sz val="10"/>
      <color rgb="FF8B1E3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9"/>
      <color rgb="FF6B7280"/>
      <name val="Arial"/>
      <charset val="1"/>
    </font>
    <font>
      <b/>
      <sz val="9"/>
      <color rgb="FF8B1E3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B91C1C"/>
      <name val="Arial"/>
      <charset val="1"/>
    </font>
    <font>
      <i/>
      <sz val="10"/>
      <color rgb="FFB91C1C"/>
      <name val="Arial"/>
      <charset val="1"/>
    </font>
    <font>
      <sz val="9"/>
      <color rgb="FF0000FF"/>
      <name val="Arial"/>
      <charset val="1"/>
    </font>
    <font>
      <i/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8B1E3F"/>
        <bgColor rgb="FF993366"/>
      </patternFill>
    </fill>
    <fill>
      <patternFill patternType="solid">
        <fgColor rgb="FF1F2937"/>
        <bgColor rgb="FF333300"/>
      </patternFill>
    </fill>
    <fill>
      <patternFill patternType="solid">
        <fgColor rgb="FFD9EAD3"/>
        <bgColor rgb="FFD1D5DB"/>
      </patternFill>
    </fill>
    <fill>
      <patternFill patternType="solid">
        <fgColor rgb="FFFFF2CC"/>
        <bgColor rgb="FFFDE8EE"/>
      </patternFill>
    </fill>
    <fill>
      <patternFill patternType="solid">
        <fgColor rgb="FFF4CCCC"/>
        <bgColor rgb="FFD1D5DB"/>
      </patternFill>
    </fill>
    <fill>
      <patternFill patternType="solid">
        <fgColor rgb="FFFDE8EE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DE8EE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8" fillId="0" borderId="0" xfId="0" applyFont="1"/>
    <xf numFmtId="9" fontId="9" fillId="0" borderId="0" xfId="0" applyNumberFormat="1" applyFont="1" applyAlignment="1">
      <alignment horizontal="center"/>
    </xf>
    <xf numFmtId="0" fontId="0" fillId="7" borderId="1" xfId="0" applyFill="1" applyBorder="1" applyAlignment="1">
      <alignment horizontal="center"/>
    </xf>
    <xf numFmtId="0" fontId="10" fillId="7" borderId="1" xfId="0" applyFont="1" applyFill="1" applyBorder="1"/>
    <xf numFmtId="0" fontId="3" fillId="7" borderId="1" xfId="0" applyFont="1" applyFill="1" applyBorder="1"/>
    <xf numFmtId="0" fontId="11" fillId="8" borderId="1" xfId="0" applyFont="1" applyFill="1" applyBorder="1" applyAlignment="1">
      <alignment horizontal="center"/>
    </xf>
    <xf numFmtId="2" fontId="10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4" fillId="8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7" fillId="9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B1E3F"/>
      <rgbColor rgb="FFFFF2CC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8EE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tabSelected="1" zoomScale="162" zoomScaleNormal="100" workbookViewId="0">
      <pane ySplit="1" topLeftCell="A9" activePane="bottomLeft" state="frozen"/>
      <selection pane="bottomLeft" activeCell="A6" sqref="A6"/>
    </sheetView>
  </sheetViews>
  <sheetFormatPr baseColWidth="10" defaultColWidth="8.6640625" defaultRowHeight="15" x14ac:dyDescent="0.2"/>
  <cols>
    <col min="1" max="1" width="34" style="23" customWidth="1"/>
    <col min="2" max="6" width="18" style="23" customWidth="1"/>
    <col min="7" max="16384" width="8.6640625" style="23"/>
  </cols>
  <sheetData>
    <row r="1" spans="1:6" ht="25.5" customHeight="1" x14ac:dyDescent="0.2">
      <c r="A1" s="22" t="s">
        <v>0</v>
      </c>
      <c r="B1" s="22"/>
      <c r="C1" s="22"/>
      <c r="D1" s="22"/>
      <c r="E1" s="22"/>
      <c r="F1" s="22"/>
    </row>
    <row r="3" spans="1:6" ht="31.5" customHeight="1" x14ac:dyDescent="0.2">
      <c r="A3" s="39" t="s">
        <v>1</v>
      </c>
      <c r="B3" s="40" t="s">
        <v>2</v>
      </c>
      <c r="C3" s="40"/>
      <c r="D3" s="40"/>
      <c r="E3" s="40"/>
      <c r="F3" s="40"/>
    </row>
    <row r="4" spans="1:6" ht="31.5" customHeight="1" x14ac:dyDescent="0.2">
      <c r="A4" s="39" t="s">
        <v>3</v>
      </c>
      <c r="B4" s="40" t="s">
        <v>4</v>
      </c>
      <c r="C4" s="40"/>
      <c r="D4" s="40"/>
      <c r="E4" s="40"/>
      <c r="F4" s="40"/>
    </row>
    <row r="5" spans="1:6" ht="15.75" customHeight="1" x14ac:dyDescent="0.2">
      <c r="A5" s="39" t="s">
        <v>5</v>
      </c>
      <c r="B5" s="40" t="s">
        <v>6</v>
      </c>
      <c r="C5" s="40"/>
      <c r="D5" s="40"/>
      <c r="E5" s="40"/>
      <c r="F5" s="40"/>
    </row>
    <row r="6" spans="1:6" ht="15.75" customHeight="1" x14ac:dyDescent="0.2">
      <c r="A6" s="39"/>
      <c r="B6" s="40"/>
      <c r="C6" s="40"/>
      <c r="D6" s="40"/>
      <c r="E6" s="40"/>
      <c r="F6" s="40"/>
    </row>
    <row r="7" spans="1:6" ht="15.75" customHeight="1" x14ac:dyDescent="0.2">
      <c r="A7" s="41" t="s">
        <v>7</v>
      </c>
      <c r="B7" s="40"/>
      <c r="C7" s="40"/>
      <c r="D7" s="40"/>
      <c r="E7" s="40"/>
      <c r="F7" s="40"/>
    </row>
    <row r="8" spans="1:6" ht="31.5" customHeight="1" x14ac:dyDescent="0.2">
      <c r="A8" s="39" t="s">
        <v>8</v>
      </c>
      <c r="B8" s="40" t="s">
        <v>9</v>
      </c>
      <c r="C8" s="40"/>
      <c r="D8" s="40"/>
      <c r="E8" s="40"/>
      <c r="F8" s="40"/>
    </row>
    <row r="9" spans="1:6" ht="31.5" customHeight="1" x14ac:dyDescent="0.2">
      <c r="A9" s="39" t="s">
        <v>10</v>
      </c>
      <c r="B9" s="40" t="s">
        <v>11</v>
      </c>
      <c r="C9" s="40"/>
      <c r="D9" s="40"/>
      <c r="E9" s="40"/>
      <c r="F9" s="40"/>
    </row>
    <row r="10" spans="1:6" ht="31.5" customHeight="1" x14ac:dyDescent="0.2">
      <c r="A10" s="39" t="s">
        <v>12</v>
      </c>
      <c r="B10" s="40" t="s">
        <v>13</v>
      </c>
      <c r="C10" s="40"/>
      <c r="D10" s="40"/>
      <c r="E10" s="40"/>
      <c r="F10" s="40"/>
    </row>
    <row r="11" spans="1:6" ht="31.5" customHeight="1" x14ac:dyDescent="0.2">
      <c r="A11" s="39" t="s">
        <v>14</v>
      </c>
      <c r="B11" s="40" t="s">
        <v>15</v>
      </c>
      <c r="C11" s="40"/>
      <c r="D11" s="40"/>
      <c r="E11" s="40"/>
      <c r="F11" s="40"/>
    </row>
    <row r="12" spans="1:6" ht="15.75" customHeight="1" x14ac:dyDescent="0.2">
      <c r="A12" s="39" t="s">
        <v>16</v>
      </c>
      <c r="B12" s="40" t="s">
        <v>17</v>
      </c>
      <c r="C12" s="40"/>
      <c r="D12" s="40"/>
      <c r="E12" s="40"/>
      <c r="F12" s="40"/>
    </row>
    <row r="13" spans="1:6" ht="15.75" customHeight="1" x14ac:dyDescent="0.2">
      <c r="A13" s="39"/>
      <c r="B13" s="40"/>
      <c r="C13" s="40"/>
      <c r="D13" s="40"/>
      <c r="E13" s="40"/>
      <c r="F13" s="40"/>
    </row>
    <row r="14" spans="1:6" ht="15.75" customHeight="1" x14ac:dyDescent="0.2">
      <c r="A14" s="41" t="s">
        <v>18</v>
      </c>
      <c r="B14" s="40"/>
      <c r="C14" s="40"/>
      <c r="D14" s="40"/>
      <c r="E14" s="40"/>
      <c r="F14" s="40"/>
    </row>
    <row r="15" spans="1:6" ht="31.5" customHeight="1" x14ac:dyDescent="0.2">
      <c r="A15" s="39" t="s">
        <v>19</v>
      </c>
      <c r="B15" s="40" t="s">
        <v>20</v>
      </c>
      <c r="C15" s="40"/>
      <c r="D15" s="40"/>
      <c r="E15" s="40"/>
      <c r="F15" s="40"/>
    </row>
    <row r="16" spans="1:6" ht="31.5" customHeight="1" x14ac:dyDescent="0.2">
      <c r="A16" s="39" t="s">
        <v>21</v>
      </c>
      <c r="B16" s="40" t="s">
        <v>22</v>
      </c>
      <c r="C16" s="40"/>
      <c r="D16" s="40"/>
      <c r="E16" s="40"/>
      <c r="F16" s="40"/>
    </row>
    <row r="17" spans="1:6" ht="31.5" customHeight="1" x14ac:dyDescent="0.2">
      <c r="A17" s="39" t="s">
        <v>23</v>
      </c>
      <c r="B17" s="40" t="s">
        <v>24</v>
      </c>
      <c r="C17" s="40"/>
      <c r="D17" s="40"/>
      <c r="E17" s="40"/>
      <c r="F17" s="40"/>
    </row>
    <row r="18" spans="1:6" ht="15.75" customHeight="1" x14ac:dyDescent="0.2">
      <c r="A18" s="39"/>
      <c r="B18" s="40"/>
      <c r="C18" s="40"/>
      <c r="D18" s="40"/>
      <c r="E18" s="40"/>
      <c r="F18" s="40"/>
    </row>
    <row r="19" spans="1:6" ht="15.75" customHeight="1" x14ac:dyDescent="0.2">
      <c r="A19" s="41" t="s">
        <v>25</v>
      </c>
      <c r="B19" s="40"/>
      <c r="C19" s="40"/>
      <c r="D19" s="40"/>
      <c r="E19" s="40"/>
      <c r="F19" s="40"/>
    </row>
    <row r="20" spans="1:6" ht="15.75" customHeight="1" x14ac:dyDescent="0.2">
      <c r="A20" s="39" t="s">
        <v>26</v>
      </c>
      <c r="B20" s="40" t="s">
        <v>27</v>
      </c>
      <c r="C20" s="40"/>
      <c r="D20" s="40"/>
      <c r="E20" s="40"/>
      <c r="F20" s="40"/>
    </row>
    <row r="21" spans="1:6" ht="15.75" customHeight="1" x14ac:dyDescent="0.2">
      <c r="A21" s="39" t="s">
        <v>28</v>
      </c>
      <c r="B21" s="40" t="s">
        <v>29</v>
      </c>
      <c r="C21" s="40"/>
      <c r="D21" s="40"/>
      <c r="E21" s="40"/>
      <c r="F21" s="40"/>
    </row>
    <row r="22" spans="1:6" ht="15.75" customHeight="1" x14ac:dyDescent="0.2">
      <c r="A22" s="39" t="s">
        <v>30</v>
      </c>
      <c r="B22" s="40" t="s">
        <v>31</v>
      </c>
      <c r="C22" s="40"/>
      <c r="D22" s="40"/>
      <c r="E22" s="40"/>
      <c r="F22" s="40"/>
    </row>
    <row r="23" spans="1:6" ht="15.75" customHeight="1" x14ac:dyDescent="0.2">
      <c r="A23" s="39"/>
      <c r="B23" s="40"/>
      <c r="C23" s="40"/>
      <c r="D23" s="40"/>
      <c r="E23" s="40"/>
      <c r="F23" s="40"/>
    </row>
    <row r="24" spans="1:6" ht="67" customHeight="1" x14ac:dyDescent="0.2">
      <c r="A24" s="39" t="s">
        <v>32</v>
      </c>
      <c r="B24" s="40" t="s">
        <v>33</v>
      </c>
      <c r="C24" s="40"/>
      <c r="D24" s="40"/>
      <c r="E24" s="40"/>
      <c r="F24" s="40"/>
    </row>
    <row r="25" spans="1:6" x14ac:dyDescent="0.2">
      <c r="A25" s="42"/>
      <c r="B25" s="42"/>
      <c r="C25" s="42"/>
      <c r="D25" s="42"/>
      <c r="E25" s="42"/>
      <c r="F25" s="42"/>
    </row>
    <row r="26" spans="1:6" x14ac:dyDescent="0.2">
      <c r="A26" s="42"/>
      <c r="B26" s="42"/>
      <c r="C26" s="42"/>
      <c r="D26" s="42"/>
      <c r="E26" s="42"/>
      <c r="F26" s="42"/>
    </row>
    <row r="27" spans="1:6" x14ac:dyDescent="0.2">
      <c r="A27" s="42"/>
      <c r="B27" s="42"/>
      <c r="C27" s="42"/>
      <c r="D27" s="42"/>
      <c r="E27" s="42"/>
      <c r="F27" s="42"/>
    </row>
  </sheetData>
  <mergeCells count="23">
    <mergeCell ref="B22:F22"/>
    <mergeCell ref="B23:F23"/>
    <mergeCell ref="B24:F24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B3:F3"/>
    <mergeCell ref="B4:F4"/>
    <mergeCell ref="B5:F5"/>
    <mergeCell ref="B6:F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0"/>
  <sheetViews>
    <sheetView showGridLines="0" zoomScale="150" zoomScaleNormal="100" workbookViewId="0">
      <pane ySplit="1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1" width="4" style="23" customWidth="1"/>
    <col min="2" max="2" width="18" style="23" customWidth="1"/>
    <col min="3" max="3" width="15" style="23" customWidth="1"/>
    <col min="4" max="5" width="12" style="23" customWidth="1"/>
    <col min="6" max="6" width="22" style="23" customWidth="1"/>
    <col min="7" max="10" width="18" style="23" customWidth="1"/>
    <col min="11" max="11" width="20" style="23" customWidth="1"/>
    <col min="12" max="12" width="16" style="23" customWidth="1"/>
    <col min="13" max="16384" width="8.6640625" style="23"/>
  </cols>
  <sheetData>
    <row r="1" spans="1:12" ht="25.5" customHeight="1" x14ac:dyDescent="0.2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ht="31.5" customHeight="1" x14ac:dyDescent="0.2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46</v>
      </c>
    </row>
    <row r="4" spans="1:12" ht="45.75" customHeight="1" x14ac:dyDescent="0.2">
      <c r="A4" s="4">
        <v>1</v>
      </c>
      <c r="B4" s="2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</row>
    <row r="5" spans="1:12" ht="45.75" customHeight="1" x14ac:dyDescent="0.2">
      <c r="A5" s="4">
        <v>2</v>
      </c>
      <c r="B5" s="2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66</v>
      </c>
      <c r="K5" s="4" t="s">
        <v>67</v>
      </c>
      <c r="L5" s="4" t="s">
        <v>57</v>
      </c>
    </row>
    <row r="6" spans="1:12" ht="45.75" customHeight="1" x14ac:dyDescent="0.2">
      <c r="A6" s="5">
        <v>3</v>
      </c>
      <c r="B6" s="25" t="s">
        <v>68</v>
      </c>
      <c r="C6" s="5" t="s">
        <v>48</v>
      </c>
      <c r="D6" s="5" t="s">
        <v>49</v>
      </c>
      <c r="E6" s="5" t="s">
        <v>69</v>
      </c>
      <c r="F6" s="5" t="s">
        <v>70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76</v>
      </c>
    </row>
    <row r="7" spans="1:12" ht="45.75" customHeight="1" x14ac:dyDescent="0.2">
      <c r="A7" s="5">
        <v>4</v>
      </c>
      <c r="B7" s="25" t="s">
        <v>77</v>
      </c>
      <c r="C7" s="5" t="s">
        <v>78</v>
      </c>
      <c r="D7" s="5" t="s">
        <v>79</v>
      </c>
      <c r="E7" s="5" t="s">
        <v>80</v>
      </c>
      <c r="F7" s="5" t="s">
        <v>81</v>
      </c>
      <c r="G7" s="5" t="s">
        <v>72</v>
      </c>
      <c r="H7" s="5" t="s">
        <v>72</v>
      </c>
      <c r="I7" s="5" t="s">
        <v>82</v>
      </c>
      <c r="J7" s="5" t="s">
        <v>83</v>
      </c>
      <c r="K7" s="5" t="s">
        <v>84</v>
      </c>
      <c r="L7" s="5" t="s">
        <v>76</v>
      </c>
    </row>
    <row r="8" spans="1:12" ht="45.75" customHeight="1" x14ac:dyDescent="0.2">
      <c r="A8" s="5">
        <v>5</v>
      </c>
      <c r="B8" s="25" t="s">
        <v>85</v>
      </c>
      <c r="C8" s="5" t="s">
        <v>86</v>
      </c>
      <c r="D8" s="5" t="s">
        <v>87</v>
      </c>
      <c r="E8" s="5" t="s">
        <v>88</v>
      </c>
      <c r="F8" s="5" t="s">
        <v>89</v>
      </c>
      <c r="G8" s="5" t="s">
        <v>90</v>
      </c>
      <c r="H8" s="5" t="s">
        <v>72</v>
      </c>
      <c r="I8" s="5" t="s">
        <v>91</v>
      </c>
      <c r="J8" s="5" t="s">
        <v>92</v>
      </c>
      <c r="K8" s="5" t="s">
        <v>93</v>
      </c>
      <c r="L8" s="5" t="s">
        <v>76</v>
      </c>
    </row>
    <row r="9" spans="1:12" ht="45.75" customHeight="1" x14ac:dyDescent="0.2">
      <c r="A9" s="5">
        <v>6</v>
      </c>
      <c r="B9" s="25" t="s">
        <v>94</v>
      </c>
      <c r="C9" s="5" t="s">
        <v>95</v>
      </c>
      <c r="D9" s="5" t="s">
        <v>96</v>
      </c>
      <c r="E9" s="5" t="s">
        <v>72</v>
      </c>
      <c r="F9" s="5" t="s">
        <v>97</v>
      </c>
      <c r="G9" s="5" t="s">
        <v>72</v>
      </c>
      <c r="H9" s="5" t="s">
        <v>72</v>
      </c>
      <c r="I9" s="5" t="s">
        <v>98</v>
      </c>
      <c r="J9" s="5" t="s">
        <v>99</v>
      </c>
      <c r="K9" s="5" t="s">
        <v>100</v>
      </c>
      <c r="L9" s="5" t="s">
        <v>76</v>
      </c>
    </row>
    <row r="10" spans="1:12" ht="45.75" customHeight="1" x14ac:dyDescent="0.2">
      <c r="A10" s="5">
        <v>7</v>
      </c>
      <c r="B10" s="25" t="s">
        <v>101</v>
      </c>
      <c r="C10" s="5" t="s">
        <v>102</v>
      </c>
      <c r="D10" s="5" t="s">
        <v>103</v>
      </c>
      <c r="E10" s="5" t="s">
        <v>72</v>
      </c>
      <c r="F10" s="5" t="s">
        <v>104</v>
      </c>
      <c r="G10" s="5" t="s">
        <v>105</v>
      </c>
      <c r="H10" s="5" t="s">
        <v>72</v>
      </c>
      <c r="I10" s="5" t="s">
        <v>106</v>
      </c>
      <c r="J10" s="5" t="s">
        <v>99</v>
      </c>
      <c r="K10" s="5" t="s">
        <v>107</v>
      </c>
      <c r="L10" s="5" t="s">
        <v>76</v>
      </c>
    </row>
    <row r="11" spans="1:12" ht="45.75" customHeight="1" x14ac:dyDescent="0.2">
      <c r="A11" s="5">
        <v>8</v>
      </c>
      <c r="B11" s="25" t="s">
        <v>108</v>
      </c>
      <c r="C11" s="5" t="s">
        <v>109</v>
      </c>
      <c r="D11" s="5" t="s">
        <v>110</v>
      </c>
      <c r="E11" s="5" t="s">
        <v>72</v>
      </c>
      <c r="F11" s="5" t="s">
        <v>111</v>
      </c>
      <c r="G11" s="5" t="s">
        <v>72</v>
      </c>
      <c r="H11" s="5" t="s">
        <v>72</v>
      </c>
      <c r="I11" s="5" t="s">
        <v>112</v>
      </c>
      <c r="J11" s="5" t="s">
        <v>99</v>
      </c>
      <c r="K11" s="5" t="s">
        <v>72</v>
      </c>
      <c r="L11" s="5" t="s">
        <v>76</v>
      </c>
    </row>
    <row r="12" spans="1:12" ht="45.75" customHeight="1" x14ac:dyDescent="0.2">
      <c r="A12" s="5">
        <v>9</v>
      </c>
      <c r="B12" s="25" t="s">
        <v>113</v>
      </c>
      <c r="C12" s="5" t="s">
        <v>114</v>
      </c>
      <c r="D12" s="5" t="s">
        <v>115</v>
      </c>
      <c r="E12" s="5" t="s">
        <v>72</v>
      </c>
      <c r="F12" s="5" t="s">
        <v>116</v>
      </c>
      <c r="G12" s="5" t="s">
        <v>72</v>
      </c>
      <c r="H12" s="5" t="s">
        <v>72</v>
      </c>
      <c r="I12" s="5" t="s">
        <v>117</v>
      </c>
      <c r="J12" s="5" t="s">
        <v>99</v>
      </c>
      <c r="K12" s="5" t="s">
        <v>118</v>
      </c>
      <c r="L12" s="5" t="s">
        <v>76</v>
      </c>
    </row>
    <row r="13" spans="1:12" ht="45.75" customHeight="1" x14ac:dyDescent="0.2">
      <c r="A13" s="6">
        <v>10</v>
      </c>
      <c r="B13" s="26" t="s">
        <v>119</v>
      </c>
      <c r="C13" s="6" t="s">
        <v>120</v>
      </c>
      <c r="D13" s="6" t="s">
        <v>49</v>
      </c>
      <c r="E13" s="6" t="s">
        <v>72</v>
      </c>
      <c r="F13" s="6" t="s">
        <v>72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121</v>
      </c>
    </row>
    <row r="14" spans="1:12" ht="45.75" customHeight="1" x14ac:dyDescent="0.2">
      <c r="A14" s="6">
        <v>11</v>
      </c>
      <c r="B14" s="26" t="s">
        <v>122</v>
      </c>
      <c r="C14" s="6" t="s">
        <v>123</v>
      </c>
      <c r="D14" s="6" t="s">
        <v>124</v>
      </c>
      <c r="E14" s="6" t="s">
        <v>72</v>
      </c>
      <c r="F14" s="6" t="s">
        <v>72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121</v>
      </c>
    </row>
    <row r="15" spans="1:12" ht="45.75" customHeight="1" x14ac:dyDescent="0.2">
      <c r="A15" s="6">
        <v>12</v>
      </c>
      <c r="B15" s="26" t="s">
        <v>125</v>
      </c>
      <c r="C15" s="6" t="s">
        <v>126</v>
      </c>
      <c r="D15" s="6" t="s">
        <v>127</v>
      </c>
      <c r="E15" s="6" t="s">
        <v>72</v>
      </c>
      <c r="F15" s="6" t="s">
        <v>72</v>
      </c>
      <c r="G15" s="6" t="s">
        <v>72</v>
      </c>
      <c r="H15" s="6" t="s">
        <v>72</v>
      </c>
      <c r="I15" s="6" t="s">
        <v>72</v>
      </c>
      <c r="J15" s="6" t="s">
        <v>72</v>
      </c>
      <c r="K15" s="6" t="s">
        <v>72</v>
      </c>
      <c r="L15" s="6" t="s">
        <v>121</v>
      </c>
    </row>
    <row r="16" spans="1:12" ht="45.75" customHeight="1" x14ac:dyDescent="0.2">
      <c r="A16" s="6">
        <v>13</v>
      </c>
      <c r="B16" s="26" t="s">
        <v>128</v>
      </c>
      <c r="C16" s="6" t="s">
        <v>78</v>
      </c>
      <c r="D16" s="6" t="s">
        <v>129</v>
      </c>
      <c r="E16" s="6" t="s">
        <v>72</v>
      </c>
      <c r="F16" s="6" t="s">
        <v>72</v>
      </c>
      <c r="G16" s="6" t="s">
        <v>72</v>
      </c>
      <c r="H16" s="6" t="s">
        <v>72</v>
      </c>
      <c r="I16" s="6" t="s">
        <v>72</v>
      </c>
      <c r="J16" s="6" t="s">
        <v>72</v>
      </c>
      <c r="K16" s="6" t="s">
        <v>72</v>
      </c>
      <c r="L16" s="6" t="s">
        <v>121</v>
      </c>
    </row>
    <row r="17" spans="1:12" ht="45.75" customHeight="1" x14ac:dyDescent="0.2">
      <c r="A17" s="6">
        <v>14</v>
      </c>
      <c r="B17" s="26" t="s">
        <v>130</v>
      </c>
      <c r="C17" s="6" t="s">
        <v>109</v>
      </c>
      <c r="D17" s="6" t="s">
        <v>131</v>
      </c>
      <c r="E17" s="6" t="s">
        <v>72</v>
      </c>
      <c r="F17" s="6" t="s">
        <v>72</v>
      </c>
      <c r="G17" s="6" t="s">
        <v>72</v>
      </c>
      <c r="H17" s="6" t="s">
        <v>72</v>
      </c>
      <c r="I17" s="6" t="s">
        <v>72</v>
      </c>
      <c r="J17" s="6" t="s">
        <v>72</v>
      </c>
      <c r="K17" s="6" t="s">
        <v>72</v>
      </c>
      <c r="L17" s="6" t="s">
        <v>121</v>
      </c>
    </row>
    <row r="18" spans="1:12" ht="45.75" customHeight="1" x14ac:dyDescent="0.2">
      <c r="A18" s="6">
        <v>15</v>
      </c>
      <c r="B18" s="26" t="s">
        <v>132</v>
      </c>
      <c r="C18" s="6" t="s">
        <v>133</v>
      </c>
      <c r="D18" s="6" t="s">
        <v>134</v>
      </c>
      <c r="E18" s="6" t="s">
        <v>72</v>
      </c>
      <c r="F18" s="6" t="s">
        <v>72</v>
      </c>
      <c r="G18" s="6" t="s">
        <v>72</v>
      </c>
      <c r="H18" s="6" t="s">
        <v>72</v>
      </c>
      <c r="I18" s="6" t="s">
        <v>72</v>
      </c>
      <c r="J18" s="6" t="s">
        <v>72</v>
      </c>
      <c r="K18" s="6" t="s">
        <v>72</v>
      </c>
      <c r="L18" s="6" t="s">
        <v>121</v>
      </c>
    </row>
    <row r="20" spans="1:12" x14ac:dyDescent="0.2">
      <c r="A20" s="27" t="s">
        <v>135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</sheetData>
  <mergeCells count="2">
    <mergeCell ref="A1:L1"/>
    <mergeCell ref="A20:L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1"/>
  <sheetViews>
    <sheetView showGridLines="0" zoomScale="125" zoomScaleNormal="100" workbookViewId="0">
      <pane ySplit="1" topLeftCell="A2" activePane="bottomLeft" state="frozen"/>
      <selection pane="bottomLeft" activeCell="E4" sqref="A3:L19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20" customWidth="1"/>
    <col min="4" max="10" width="13" customWidth="1"/>
    <col min="11" max="11" width="12" customWidth="1"/>
    <col min="12" max="12" width="10" customWidth="1"/>
  </cols>
  <sheetData>
    <row r="1" spans="1:12" ht="25.5" customHeight="1" x14ac:dyDescent="0.2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2">
      <c r="A3" s="7" t="s">
        <v>137</v>
      </c>
      <c r="D3" s="8">
        <v>0.25</v>
      </c>
      <c r="E3" s="8">
        <v>0.2</v>
      </c>
      <c r="F3" s="8">
        <v>0.15</v>
      </c>
      <c r="G3" s="8">
        <v>0.15</v>
      </c>
      <c r="H3" s="8">
        <v>0.1</v>
      </c>
      <c r="I3" s="8">
        <v>0.1</v>
      </c>
      <c r="J3" s="8">
        <v>0.05</v>
      </c>
    </row>
    <row r="4" spans="1:12" ht="69" customHeight="1" x14ac:dyDescent="0.2">
      <c r="A4" s="3" t="s">
        <v>35</v>
      </c>
      <c r="B4" s="3" t="s">
        <v>36</v>
      </c>
      <c r="C4" s="3" t="s">
        <v>138</v>
      </c>
      <c r="D4" s="3" t="s">
        <v>139</v>
      </c>
      <c r="E4" s="3" t="s">
        <v>140</v>
      </c>
      <c r="F4" s="3" t="s">
        <v>141</v>
      </c>
      <c r="G4" s="3" t="s">
        <v>142</v>
      </c>
      <c r="H4" s="3" t="s">
        <v>143</v>
      </c>
      <c r="I4" s="3" t="s">
        <v>144</v>
      </c>
      <c r="J4" s="3" t="s">
        <v>145</v>
      </c>
      <c r="K4" s="3" t="s">
        <v>146</v>
      </c>
      <c r="L4" s="3" t="s">
        <v>147</v>
      </c>
    </row>
    <row r="5" spans="1:12" x14ac:dyDescent="0.2">
      <c r="A5" s="9">
        <v>1</v>
      </c>
      <c r="B5" s="10" t="s">
        <v>47</v>
      </c>
      <c r="C5" s="11" t="s">
        <v>48</v>
      </c>
      <c r="D5" s="12">
        <v>3</v>
      </c>
      <c r="E5" s="12">
        <v>4</v>
      </c>
      <c r="F5" s="12">
        <v>2</v>
      </c>
      <c r="G5" s="12">
        <v>5</v>
      </c>
      <c r="H5" s="12">
        <v>3</v>
      </c>
      <c r="I5" s="12">
        <v>5</v>
      </c>
      <c r="J5" s="12">
        <v>4</v>
      </c>
      <c r="K5" s="13">
        <f t="shared" ref="K5:K13" si="0">SUMPRODUCT(D5:J5,$D$3:$J$3)</f>
        <v>3.6000000000000005</v>
      </c>
      <c r="L5" s="14">
        <f t="shared" ref="L5:L13" si="1">IF(ISNUMBER(K5),RANK(K5,$K$5:$K$19),"—")</f>
        <v>3</v>
      </c>
    </row>
    <row r="6" spans="1:12" x14ac:dyDescent="0.2">
      <c r="A6" s="9">
        <v>2</v>
      </c>
      <c r="B6" s="10" t="s">
        <v>58</v>
      </c>
      <c r="C6" s="11" t="s">
        <v>59</v>
      </c>
      <c r="D6" s="12">
        <v>4</v>
      </c>
      <c r="E6" s="12">
        <v>5</v>
      </c>
      <c r="F6" s="12">
        <v>4</v>
      </c>
      <c r="G6" s="12">
        <v>4</v>
      </c>
      <c r="H6" s="12">
        <v>2</v>
      </c>
      <c r="I6" s="12">
        <v>5</v>
      </c>
      <c r="J6" s="12">
        <v>3</v>
      </c>
      <c r="K6" s="13">
        <f t="shared" si="0"/>
        <v>4.0500000000000007</v>
      </c>
      <c r="L6" s="14">
        <f t="shared" si="1"/>
        <v>1</v>
      </c>
    </row>
    <row r="7" spans="1:12" x14ac:dyDescent="0.2">
      <c r="A7" s="15">
        <v>3</v>
      </c>
      <c r="B7" s="16" t="s">
        <v>68</v>
      </c>
      <c r="C7" s="16" t="s">
        <v>48</v>
      </c>
      <c r="D7" s="12">
        <v>5</v>
      </c>
      <c r="E7" s="12">
        <v>3</v>
      </c>
      <c r="F7" s="12">
        <v>4</v>
      </c>
      <c r="G7" s="12">
        <v>4</v>
      </c>
      <c r="H7" s="12">
        <v>3</v>
      </c>
      <c r="I7" s="12">
        <v>4</v>
      </c>
      <c r="J7" s="12">
        <v>5</v>
      </c>
      <c r="K7" s="17">
        <f t="shared" si="0"/>
        <v>4</v>
      </c>
      <c r="L7" s="18">
        <f t="shared" si="1"/>
        <v>2</v>
      </c>
    </row>
    <row r="8" spans="1:12" x14ac:dyDescent="0.2">
      <c r="A8" s="15">
        <v>4</v>
      </c>
      <c r="B8" s="16" t="s">
        <v>77</v>
      </c>
      <c r="C8" s="16" t="s">
        <v>78</v>
      </c>
      <c r="D8" s="12">
        <v>4</v>
      </c>
      <c r="E8" s="12">
        <v>3</v>
      </c>
      <c r="F8" s="12">
        <v>3</v>
      </c>
      <c r="G8" s="12">
        <v>4</v>
      </c>
      <c r="H8" s="12">
        <v>3</v>
      </c>
      <c r="I8" s="12">
        <v>4</v>
      </c>
      <c r="J8" s="12">
        <v>5</v>
      </c>
      <c r="K8" s="17">
        <f t="shared" si="0"/>
        <v>3.6</v>
      </c>
      <c r="L8" s="18">
        <f t="shared" si="1"/>
        <v>4</v>
      </c>
    </row>
    <row r="9" spans="1:12" x14ac:dyDescent="0.2">
      <c r="A9" s="15">
        <v>5</v>
      </c>
      <c r="B9" s="16" t="s">
        <v>85</v>
      </c>
      <c r="C9" s="16" t="s">
        <v>86</v>
      </c>
      <c r="D9" s="12">
        <v>1</v>
      </c>
      <c r="E9" s="12">
        <v>5</v>
      </c>
      <c r="F9" s="12">
        <v>1</v>
      </c>
      <c r="G9" s="12">
        <v>5</v>
      </c>
      <c r="H9" s="12">
        <v>4</v>
      </c>
      <c r="I9" s="12">
        <v>3</v>
      </c>
      <c r="J9" s="12">
        <v>4</v>
      </c>
      <c r="K9" s="17">
        <f t="shared" si="0"/>
        <v>3.05</v>
      </c>
      <c r="L9" s="18">
        <f t="shared" si="1"/>
        <v>8</v>
      </c>
    </row>
    <row r="10" spans="1:12" x14ac:dyDescent="0.2">
      <c r="A10" s="15">
        <v>6</v>
      </c>
      <c r="B10" s="16" t="s">
        <v>94</v>
      </c>
      <c r="C10" s="16" t="s">
        <v>95</v>
      </c>
      <c r="D10" s="12">
        <v>3</v>
      </c>
      <c r="E10" s="12">
        <v>3</v>
      </c>
      <c r="F10" s="12">
        <v>4</v>
      </c>
      <c r="G10" s="12">
        <v>3</v>
      </c>
      <c r="H10" s="12">
        <v>3</v>
      </c>
      <c r="I10" s="12">
        <v>3</v>
      </c>
      <c r="J10" s="12">
        <v>3</v>
      </c>
      <c r="K10" s="17">
        <f t="shared" si="0"/>
        <v>3.15</v>
      </c>
      <c r="L10" s="18">
        <f t="shared" si="1"/>
        <v>7</v>
      </c>
    </row>
    <row r="11" spans="1:12" x14ac:dyDescent="0.2">
      <c r="A11" s="15">
        <v>7</v>
      </c>
      <c r="B11" s="16" t="s">
        <v>101</v>
      </c>
      <c r="C11" s="16" t="s">
        <v>102</v>
      </c>
      <c r="D11" s="12">
        <v>5</v>
      </c>
      <c r="E11" s="12">
        <v>2</v>
      </c>
      <c r="F11" s="12">
        <v>3</v>
      </c>
      <c r="G11" s="12">
        <v>3</v>
      </c>
      <c r="H11" s="12">
        <v>2</v>
      </c>
      <c r="I11" s="12">
        <v>3</v>
      </c>
      <c r="J11" s="12">
        <v>4</v>
      </c>
      <c r="K11" s="17">
        <f t="shared" si="0"/>
        <v>3.25</v>
      </c>
      <c r="L11" s="18">
        <f t="shared" si="1"/>
        <v>6</v>
      </c>
    </row>
    <row r="12" spans="1:12" x14ac:dyDescent="0.2">
      <c r="A12" s="15">
        <v>8</v>
      </c>
      <c r="B12" s="16" t="s">
        <v>108</v>
      </c>
      <c r="C12" s="16" t="s">
        <v>109</v>
      </c>
      <c r="D12" s="12">
        <v>3</v>
      </c>
      <c r="E12" s="12">
        <v>4</v>
      </c>
      <c r="F12" s="12">
        <v>3</v>
      </c>
      <c r="G12" s="12">
        <v>4</v>
      </c>
      <c r="H12" s="12">
        <v>3</v>
      </c>
      <c r="I12" s="12">
        <v>3</v>
      </c>
      <c r="J12" s="12">
        <v>4</v>
      </c>
      <c r="K12" s="17">
        <f t="shared" si="0"/>
        <v>3.4000000000000004</v>
      </c>
      <c r="L12" s="18">
        <f t="shared" si="1"/>
        <v>5</v>
      </c>
    </row>
    <row r="13" spans="1:12" x14ac:dyDescent="0.2">
      <c r="A13" s="15">
        <v>9</v>
      </c>
      <c r="B13" s="16" t="s">
        <v>113</v>
      </c>
      <c r="C13" s="16" t="s">
        <v>114</v>
      </c>
      <c r="D13" s="12">
        <v>2</v>
      </c>
      <c r="E13" s="12">
        <v>3</v>
      </c>
      <c r="F13" s="12">
        <v>1</v>
      </c>
      <c r="G13" s="12">
        <v>4</v>
      </c>
      <c r="H13" s="12">
        <v>4</v>
      </c>
      <c r="I13" s="12">
        <v>3</v>
      </c>
      <c r="J13" s="12">
        <v>3</v>
      </c>
      <c r="K13" s="17">
        <f t="shared" si="0"/>
        <v>2.6999999999999997</v>
      </c>
      <c r="L13" s="18">
        <f t="shared" si="1"/>
        <v>9</v>
      </c>
    </row>
    <row r="14" spans="1:12" x14ac:dyDescent="0.2">
      <c r="A14" s="15">
        <v>10</v>
      </c>
      <c r="B14" s="16" t="s">
        <v>119</v>
      </c>
      <c r="C14" s="16" t="s">
        <v>120</v>
      </c>
      <c r="D14" s="19" t="s">
        <v>72</v>
      </c>
      <c r="E14" s="19" t="s">
        <v>72</v>
      </c>
      <c r="F14" s="19" t="s">
        <v>72</v>
      </c>
      <c r="G14" s="19" t="s">
        <v>72</v>
      </c>
      <c r="H14" s="19" t="s">
        <v>72</v>
      </c>
      <c r="I14" s="19" t="s">
        <v>72</v>
      </c>
      <c r="J14" s="19" t="s">
        <v>72</v>
      </c>
      <c r="K14" s="20" t="s">
        <v>72</v>
      </c>
      <c r="L14" s="15" t="s">
        <v>148</v>
      </c>
    </row>
    <row r="15" spans="1:12" x14ac:dyDescent="0.2">
      <c r="A15" s="15">
        <v>11</v>
      </c>
      <c r="B15" s="16" t="s">
        <v>122</v>
      </c>
      <c r="C15" s="16" t="s">
        <v>123</v>
      </c>
      <c r="D15" s="19" t="s">
        <v>72</v>
      </c>
      <c r="E15" s="19" t="s">
        <v>72</v>
      </c>
      <c r="F15" s="19" t="s">
        <v>72</v>
      </c>
      <c r="G15" s="19" t="s">
        <v>72</v>
      </c>
      <c r="H15" s="19" t="s">
        <v>72</v>
      </c>
      <c r="I15" s="19" t="s">
        <v>72</v>
      </c>
      <c r="J15" s="19" t="s">
        <v>72</v>
      </c>
      <c r="K15" s="20" t="s">
        <v>72</v>
      </c>
      <c r="L15" s="15" t="s">
        <v>148</v>
      </c>
    </row>
    <row r="16" spans="1:12" x14ac:dyDescent="0.2">
      <c r="A16" s="15">
        <v>12</v>
      </c>
      <c r="B16" s="16" t="s">
        <v>125</v>
      </c>
      <c r="C16" s="16" t="s">
        <v>126</v>
      </c>
      <c r="D16" s="19" t="s">
        <v>72</v>
      </c>
      <c r="E16" s="19" t="s">
        <v>72</v>
      </c>
      <c r="F16" s="19" t="s">
        <v>72</v>
      </c>
      <c r="G16" s="19" t="s">
        <v>72</v>
      </c>
      <c r="H16" s="19" t="s">
        <v>72</v>
      </c>
      <c r="I16" s="19" t="s">
        <v>72</v>
      </c>
      <c r="J16" s="19" t="s">
        <v>72</v>
      </c>
      <c r="K16" s="20" t="s">
        <v>72</v>
      </c>
      <c r="L16" s="15" t="s">
        <v>148</v>
      </c>
    </row>
    <row r="17" spans="1:12" x14ac:dyDescent="0.2">
      <c r="A17" s="15">
        <v>13</v>
      </c>
      <c r="B17" s="16" t="s">
        <v>128</v>
      </c>
      <c r="C17" s="16" t="s">
        <v>78</v>
      </c>
      <c r="D17" s="19" t="s">
        <v>72</v>
      </c>
      <c r="E17" s="19" t="s">
        <v>72</v>
      </c>
      <c r="F17" s="19" t="s">
        <v>72</v>
      </c>
      <c r="G17" s="19" t="s">
        <v>72</v>
      </c>
      <c r="H17" s="19" t="s">
        <v>72</v>
      </c>
      <c r="I17" s="19" t="s">
        <v>72</v>
      </c>
      <c r="J17" s="19" t="s">
        <v>72</v>
      </c>
      <c r="K17" s="20" t="s">
        <v>72</v>
      </c>
      <c r="L17" s="15" t="s">
        <v>148</v>
      </c>
    </row>
    <row r="18" spans="1:12" x14ac:dyDescent="0.2">
      <c r="A18" s="15">
        <v>14</v>
      </c>
      <c r="B18" s="16" t="s">
        <v>130</v>
      </c>
      <c r="C18" s="16" t="s">
        <v>109</v>
      </c>
      <c r="D18" s="19" t="s">
        <v>72</v>
      </c>
      <c r="E18" s="19" t="s">
        <v>72</v>
      </c>
      <c r="F18" s="19" t="s">
        <v>72</v>
      </c>
      <c r="G18" s="19" t="s">
        <v>72</v>
      </c>
      <c r="H18" s="19" t="s">
        <v>72</v>
      </c>
      <c r="I18" s="19" t="s">
        <v>72</v>
      </c>
      <c r="J18" s="19" t="s">
        <v>72</v>
      </c>
      <c r="K18" s="20" t="s">
        <v>72</v>
      </c>
      <c r="L18" s="15" t="s">
        <v>148</v>
      </c>
    </row>
    <row r="19" spans="1:12" x14ac:dyDescent="0.2">
      <c r="A19" s="15">
        <v>15</v>
      </c>
      <c r="B19" s="16" t="s">
        <v>132</v>
      </c>
      <c r="C19" s="16" t="s">
        <v>133</v>
      </c>
      <c r="D19" s="19" t="s">
        <v>72</v>
      </c>
      <c r="E19" s="19" t="s">
        <v>72</v>
      </c>
      <c r="F19" s="19" t="s">
        <v>72</v>
      </c>
      <c r="G19" s="19" t="s">
        <v>72</v>
      </c>
      <c r="H19" s="19" t="s">
        <v>72</v>
      </c>
      <c r="I19" s="19" t="s">
        <v>72</v>
      </c>
      <c r="J19" s="19" t="s">
        <v>72</v>
      </c>
      <c r="K19" s="20" t="s">
        <v>72</v>
      </c>
      <c r="L19" s="15" t="s">
        <v>148</v>
      </c>
    </row>
    <row r="21" spans="1:12" ht="33.75" customHeight="1" x14ac:dyDescent="0.2">
      <c r="A21" s="1" t="s">
        <v>149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2">
    <mergeCell ref="A1:L1"/>
    <mergeCell ref="A21:L2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baseColWidth="10" defaultColWidth="8.6640625" defaultRowHeight="15" x14ac:dyDescent="0.2"/>
  <cols>
    <col min="1" max="1" width="22" style="23" customWidth="1"/>
    <col min="2" max="3" width="34" style="23" customWidth="1"/>
    <col min="4" max="4" width="30" style="23" customWidth="1"/>
    <col min="5" max="16384" width="8.6640625" style="23"/>
  </cols>
  <sheetData>
    <row r="1" spans="1:4" ht="25.5" customHeight="1" x14ac:dyDescent="0.2">
      <c r="A1" s="22" t="s">
        <v>150</v>
      </c>
      <c r="B1" s="22"/>
      <c r="C1" s="22"/>
      <c r="D1" s="22"/>
    </row>
    <row r="3" spans="1:4" ht="24" customHeight="1" x14ac:dyDescent="0.2">
      <c r="A3" s="3" t="s">
        <v>151</v>
      </c>
      <c r="B3" s="3" t="s">
        <v>152</v>
      </c>
      <c r="C3" s="3" t="s">
        <v>153</v>
      </c>
      <c r="D3" s="3" t="s">
        <v>154</v>
      </c>
    </row>
    <row r="4" spans="1:4" ht="43.5" customHeight="1" x14ac:dyDescent="0.2">
      <c r="A4" s="33" t="s">
        <v>155</v>
      </c>
      <c r="B4" s="34" t="s">
        <v>156</v>
      </c>
      <c r="C4" s="34" t="s">
        <v>157</v>
      </c>
      <c r="D4" s="34" t="s">
        <v>158</v>
      </c>
    </row>
    <row r="5" spans="1:4" ht="43.5" customHeight="1" x14ac:dyDescent="0.2">
      <c r="A5" s="35" t="s">
        <v>159</v>
      </c>
      <c r="B5" s="31" t="s">
        <v>160</v>
      </c>
      <c r="C5" s="31" t="s">
        <v>161</v>
      </c>
      <c r="D5" s="31" t="s">
        <v>162</v>
      </c>
    </row>
    <row r="6" spans="1:4" ht="43.5" customHeight="1" x14ac:dyDescent="0.2">
      <c r="A6" s="33" t="s">
        <v>163</v>
      </c>
      <c r="B6" s="34" t="s">
        <v>164</v>
      </c>
      <c r="C6" s="34" t="s">
        <v>165</v>
      </c>
      <c r="D6" s="34" t="s">
        <v>166</v>
      </c>
    </row>
    <row r="7" spans="1:4" ht="43.5" customHeight="1" x14ac:dyDescent="0.2">
      <c r="A7" s="35" t="s">
        <v>42</v>
      </c>
      <c r="B7" s="31" t="s">
        <v>53</v>
      </c>
      <c r="C7" s="31" t="s">
        <v>167</v>
      </c>
      <c r="D7" s="31" t="s">
        <v>168</v>
      </c>
    </row>
    <row r="8" spans="1:4" ht="43.5" customHeight="1" x14ac:dyDescent="0.2">
      <c r="A8" s="33" t="s">
        <v>169</v>
      </c>
      <c r="B8" s="34" t="s">
        <v>170</v>
      </c>
      <c r="C8" s="34" t="s">
        <v>171</v>
      </c>
      <c r="D8" s="34" t="s">
        <v>172</v>
      </c>
    </row>
    <row r="9" spans="1:4" ht="43.5" customHeight="1" x14ac:dyDescent="0.2">
      <c r="A9" s="35" t="s">
        <v>173</v>
      </c>
      <c r="B9" s="31" t="s">
        <v>174</v>
      </c>
      <c r="C9" s="31" t="s">
        <v>175</v>
      </c>
      <c r="D9" s="31" t="s">
        <v>176</v>
      </c>
    </row>
    <row r="10" spans="1:4" ht="43.5" customHeight="1" x14ac:dyDescent="0.2">
      <c r="A10" s="33" t="s">
        <v>177</v>
      </c>
      <c r="B10" s="34" t="s">
        <v>178</v>
      </c>
      <c r="C10" s="34" t="s">
        <v>179</v>
      </c>
      <c r="D10" s="34" t="s">
        <v>180</v>
      </c>
    </row>
    <row r="11" spans="1:4" ht="43.5" customHeight="1" x14ac:dyDescent="0.2">
      <c r="A11" s="35" t="s">
        <v>181</v>
      </c>
      <c r="B11" s="31" t="s">
        <v>182</v>
      </c>
      <c r="C11" s="31" t="s">
        <v>183</v>
      </c>
      <c r="D11" s="31" t="s">
        <v>184</v>
      </c>
    </row>
    <row r="12" spans="1:4" ht="43.5" customHeight="1" x14ac:dyDescent="0.2">
      <c r="A12" s="33" t="s">
        <v>185</v>
      </c>
      <c r="B12" s="34" t="s">
        <v>186</v>
      </c>
      <c r="C12" s="34" t="s">
        <v>187</v>
      </c>
      <c r="D12" s="34" t="s">
        <v>188</v>
      </c>
    </row>
    <row r="13" spans="1:4" ht="43.5" customHeight="1" x14ac:dyDescent="0.2">
      <c r="A13" s="35" t="s">
        <v>189</v>
      </c>
      <c r="B13" s="31" t="s">
        <v>190</v>
      </c>
      <c r="C13" s="31" t="s">
        <v>191</v>
      </c>
      <c r="D13" s="31" t="s">
        <v>192</v>
      </c>
    </row>
  </sheetData>
  <mergeCells count="1">
    <mergeCell ref="A1:D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2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baseColWidth="10" defaultColWidth="8.6640625" defaultRowHeight="15" x14ac:dyDescent="0.2"/>
  <cols>
    <col min="1" max="1" width="18" style="23" customWidth="1"/>
    <col min="2" max="2" width="30" style="23" customWidth="1"/>
    <col min="3" max="3" width="16" style="23" customWidth="1"/>
    <col min="4" max="6" width="10" style="23" customWidth="1"/>
    <col min="7" max="7" width="34" style="23" customWidth="1"/>
    <col min="8" max="8" width="8.6640625" style="23"/>
    <col min="9" max="9" width="10" style="23" customWidth="1"/>
    <col min="10" max="10" width="6" style="23" customWidth="1"/>
    <col min="11" max="16384" width="8.6640625" style="23"/>
  </cols>
  <sheetData>
    <row r="1" spans="1:10" ht="25.5" customHeight="1" x14ac:dyDescent="0.2">
      <c r="A1" s="22" t="s">
        <v>193</v>
      </c>
      <c r="B1" s="22"/>
      <c r="C1" s="22"/>
      <c r="D1" s="22"/>
      <c r="E1" s="22"/>
      <c r="F1" s="22"/>
      <c r="G1" s="22"/>
    </row>
    <row r="3" spans="1:10" x14ac:dyDescent="0.2">
      <c r="I3" s="28" t="s">
        <v>194</v>
      </c>
    </row>
    <row r="4" spans="1:10" x14ac:dyDescent="0.2">
      <c r="I4" s="29" t="s">
        <v>195</v>
      </c>
      <c r="J4" s="29">
        <v>1</v>
      </c>
    </row>
    <row r="5" spans="1:10" ht="30" customHeight="1" x14ac:dyDescent="0.2">
      <c r="A5" s="3" t="s">
        <v>36</v>
      </c>
      <c r="B5" s="3" t="s">
        <v>196</v>
      </c>
      <c r="C5" s="3" t="s">
        <v>197</v>
      </c>
      <c r="D5" s="3" t="s">
        <v>198</v>
      </c>
      <c r="E5" s="3" t="s">
        <v>199</v>
      </c>
      <c r="F5" s="3" t="s">
        <v>200</v>
      </c>
      <c r="G5" s="3" t="s">
        <v>201</v>
      </c>
      <c r="I5" s="29" t="s">
        <v>202</v>
      </c>
      <c r="J5" s="29">
        <v>2</v>
      </c>
    </row>
    <row r="6" spans="1:10" ht="39.75" customHeight="1" x14ac:dyDescent="0.2">
      <c r="A6" s="30" t="s">
        <v>47</v>
      </c>
      <c r="B6" s="31" t="s">
        <v>203</v>
      </c>
      <c r="C6" s="31" t="s">
        <v>204</v>
      </c>
      <c r="D6" s="32" t="s">
        <v>205</v>
      </c>
      <c r="E6" s="32" t="s">
        <v>205</v>
      </c>
      <c r="F6" s="21">
        <f t="shared" ref="F6:F12" si="0">INDEX($J$4:$J$6,MATCH(D6,$I$4:$I$6,0))*INDEX($J$4:$J$6,MATCH(E6,$I$4:$I$6,0))</f>
        <v>9</v>
      </c>
      <c r="G6" s="31" t="s">
        <v>206</v>
      </c>
      <c r="I6" s="29" t="s">
        <v>205</v>
      </c>
      <c r="J6" s="29">
        <v>3</v>
      </c>
    </row>
    <row r="7" spans="1:10" ht="39.75" customHeight="1" x14ac:dyDescent="0.2">
      <c r="A7" s="30" t="s">
        <v>47</v>
      </c>
      <c r="B7" s="31" t="s">
        <v>207</v>
      </c>
      <c r="C7" s="31" t="s">
        <v>208</v>
      </c>
      <c r="D7" s="32" t="s">
        <v>205</v>
      </c>
      <c r="E7" s="32" t="s">
        <v>205</v>
      </c>
      <c r="F7" s="21">
        <f t="shared" si="0"/>
        <v>9</v>
      </c>
      <c r="G7" s="31" t="s">
        <v>209</v>
      </c>
    </row>
    <row r="8" spans="1:10" ht="39.75" customHeight="1" x14ac:dyDescent="0.2">
      <c r="A8" s="30" t="s">
        <v>47</v>
      </c>
      <c r="B8" s="31" t="s">
        <v>210</v>
      </c>
      <c r="C8" s="31" t="s">
        <v>204</v>
      </c>
      <c r="D8" s="32" t="s">
        <v>202</v>
      </c>
      <c r="E8" s="32" t="s">
        <v>202</v>
      </c>
      <c r="F8" s="21">
        <f t="shared" si="0"/>
        <v>4</v>
      </c>
      <c r="G8" s="31" t="s">
        <v>211</v>
      </c>
    </row>
    <row r="9" spans="1:10" ht="39.75" customHeight="1" x14ac:dyDescent="0.2">
      <c r="A9" s="30" t="s">
        <v>58</v>
      </c>
      <c r="B9" s="31" t="s">
        <v>212</v>
      </c>
      <c r="C9" s="31" t="s">
        <v>213</v>
      </c>
      <c r="D9" s="32" t="s">
        <v>205</v>
      </c>
      <c r="E9" s="32" t="s">
        <v>205</v>
      </c>
      <c r="F9" s="21">
        <f t="shared" si="0"/>
        <v>9</v>
      </c>
      <c r="G9" s="31" t="s">
        <v>214</v>
      </c>
    </row>
    <row r="10" spans="1:10" ht="39.75" customHeight="1" x14ac:dyDescent="0.2">
      <c r="A10" s="30" t="s">
        <v>58</v>
      </c>
      <c r="B10" s="31" t="s">
        <v>215</v>
      </c>
      <c r="C10" s="31" t="s">
        <v>216</v>
      </c>
      <c r="D10" s="32" t="s">
        <v>202</v>
      </c>
      <c r="E10" s="32" t="s">
        <v>205</v>
      </c>
      <c r="F10" s="21">
        <f t="shared" si="0"/>
        <v>6</v>
      </c>
      <c r="G10" s="31" t="s">
        <v>217</v>
      </c>
    </row>
    <row r="11" spans="1:10" ht="39.75" customHeight="1" x14ac:dyDescent="0.2">
      <c r="A11" s="30" t="s">
        <v>58</v>
      </c>
      <c r="B11" s="31" t="s">
        <v>218</v>
      </c>
      <c r="C11" s="31" t="s">
        <v>204</v>
      </c>
      <c r="D11" s="32" t="s">
        <v>202</v>
      </c>
      <c r="E11" s="32" t="s">
        <v>205</v>
      </c>
      <c r="F11" s="21">
        <f t="shared" si="0"/>
        <v>6</v>
      </c>
      <c r="G11" s="31" t="s">
        <v>219</v>
      </c>
    </row>
    <row r="12" spans="1:10" ht="39.75" customHeight="1" x14ac:dyDescent="0.2">
      <c r="A12" s="30" t="s">
        <v>58</v>
      </c>
      <c r="B12" s="31" t="s">
        <v>220</v>
      </c>
      <c r="C12" s="31" t="s">
        <v>221</v>
      </c>
      <c r="D12" s="32" t="s">
        <v>205</v>
      </c>
      <c r="E12" s="32" t="s">
        <v>202</v>
      </c>
      <c r="F12" s="21">
        <f t="shared" si="0"/>
        <v>6</v>
      </c>
      <c r="G12" s="31" t="s">
        <v>222</v>
      </c>
    </row>
  </sheetData>
  <mergeCells count="1">
    <mergeCell ref="A1:G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baseColWidth="10" defaultColWidth="8.6640625" defaultRowHeight="15" x14ac:dyDescent="0.2"/>
  <cols>
    <col min="1" max="1" width="30" style="23" customWidth="1"/>
    <col min="2" max="2" width="55" style="23" customWidth="1"/>
    <col min="3" max="3" width="40" style="23" customWidth="1"/>
    <col min="4" max="16384" width="8.6640625" style="23"/>
  </cols>
  <sheetData>
    <row r="1" spans="1:3" ht="25.5" customHeight="1" x14ac:dyDescent="0.2">
      <c r="A1" s="22" t="s">
        <v>223</v>
      </c>
      <c r="B1" s="22"/>
      <c r="C1" s="22"/>
    </row>
    <row r="3" spans="1:3" ht="21.75" customHeight="1" x14ac:dyDescent="0.2">
      <c r="A3" s="3" t="s">
        <v>151</v>
      </c>
      <c r="B3" s="3" t="s">
        <v>224</v>
      </c>
      <c r="C3" s="3" t="s">
        <v>225</v>
      </c>
    </row>
    <row r="4" spans="1:3" ht="39.75" customHeight="1" x14ac:dyDescent="0.2">
      <c r="A4" s="36" t="s">
        <v>226</v>
      </c>
      <c r="B4" s="34" t="s">
        <v>227</v>
      </c>
      <c r="C4" s="37" t="s">
        <v>228</v>
      </c>
    </row>
    <row r="5" spans="1:3" ht="39.75" customHeight="1" x14ac:dyDescent="0.2">
      <c r="A5" s="30" t="s">
        <v>229</v>
      </c>
      <c r="B5" s="31" t="s">
        <v>230</v>
      </c>
      <c r="C5" s="38" t="s">
        <v>231</v>
      </c>
    </row>
    <row r="6" spans="1:3" ht="39.75" customHeight="1" x14ac:dyDescent="0.2">
      <c r="A6" s="36" t="s">
        <v>232</v>
      </c>
      <c r="B6" s="34" t="s">
        <v>233</v>
      </c>
      <c r="C6" s="37" t="s">
        <v>234</v>
      </c>
    </row>
    <row r="7" spans="1:3" ht="39.75" customHeight="1" x14ac:dyDescent="0.2">
      <c r="A7" s="30" t="s">
        <v>235</v>
      </c>
      <c r="B7" s="31" t="s">
        <v>236</v>
      </c>
      <c r="C7" s="38" t="s">
        <v>237</v>
      </c>
    </row>
    <row r="8" spans="1:3" ht="39.75" customHeight="1" x14ac:dyDescent="0.2">
      <c r="A8" s="36" t="s">
        <v>238</v>
      </c>
      <c r="B8" s="34" t="s">
        <v>239</v>
      </c>
      <c r="C8" s="37" t="s">
        <v>240</v>
      </c>
    </row>
    <row r="9" spans="1:3" ht="39.75" customHeight="1" x14ac:dyDescent="0.2">
      <c r="A9" s="30" t="s">
        <v>241</v>
      </c>
      <c r="B9" s="31" t="s">
        <v>242</v>
      </c>
      <c r="C9" s="38" t="s">
        <v>234</v>
      </c>
    </row>
    <row r="10" spans="1:3" ht="39.75" customHeight="1" x14ac:dyDescent="0.2">
      <c r="A10" s="36" t="s">
        <v>243</v>
      </c>
      <c r="B10" s="34" t="s">
        <v>244</v>
      </c>
      <c r="C10" s="37" t="s">
        <v>245</v>
      </c>
    </row>
    <row r="11" spans="1:3" ht="39.75" customHeight="1" x14ac:dyDescent="0.2">
      <c r="A11" s="30" t="s">
        <v>246</v>
      </c>
      <c r="B11" s="31" t="s">
        <v>247</v>
      </c>
      <c r="C11" s="38" t="s">
        <v>248</v>
      </c>
    </row>
    <row r="12" spans="1:3" ht="39.75" customHeight="1" x14ac:dyDescent="0.2">
      <c r="A12" s="36" t="s">
        <v>249</v>
      </c>
      <c r="B12" s="34" t="s">
        <v>250</v>
      </c>
      <c r="C12" s="37" t="s">
        <v>251</v>
      </c>
    </row>
  </sheetData>
  <mergeCells count="1">
    <mergeCell ref="A1:C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1_Village_Database</vt:lpstr>
      <vt:lpstr>2_Village_Scoring</vt:lpstr>
      <vt:lpstr>3_KPI_Comparison</vt:lpstr>
      <vt:lpstr>4_Risk_Matrix</vt:lpstr>
      <vt:lpstr>5_Industry_Benchmarks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Tuấn</cp:lastModifiedBy>
  <cp:revision>0</cp:revision>
  <dcterms:created xsi:type="dcterms:W3CDTF">2026-07-23T08:38:40Z</dcterms:created>
  <dcterms:modified xsi:type="dcterms:W3CDTF">2026-07-23T08:45:10Z</dcterms:modified>
  <dc:language>en-US</dc:language>
</cp:coreProperties>
</file>